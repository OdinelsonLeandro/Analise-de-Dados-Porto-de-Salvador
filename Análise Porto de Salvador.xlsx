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ninho\Downloads\"/>
    </mc:Choice>
  </mc:AlternateContent>
  <xr:revisionPtr revIDLastSave="0" documentId="13_ncr:1_{E90AC821-5B0C-4E6D-990D-A92AABB1E2FD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Movimentação 2024" sheetId="1" r:id="rId1"/>
    <sheet name="Container 20 x 40" sheetId="2" r:id="rId2"/>
    <sheet name="Container 20 toneladas" sheetId="3" r:id="rId3"/>
    <sheet name="Container 40 toneladas" sheetId="4" r:id="rId4"/>
    <sheet name="Embarque e Desembarque %" sheetId="5" r:id="rId5"/>
    <sheet name="Valor por categ container" sheetId="7" r:id="rId6"/>
    <sheet name="Otimizando operação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8" l="1"/>
  <c r="H15" i="8"/>
  <c r="I2" i="8"/>
  <c r="I3" i="8"/>
  <c r="I4" i="8"/>
  <c r="I5" i="8"/>
  <c r="I6" i="8"/>
  <c r="I7" i="8"/>
  <c r="I8" i="8"/>
  <c r="I9" i="8"/>
  <c r="I10" i="8"/>
  <c r="I11" i="8"/>
  <c r="I12" i="8"/>
  <c r="I13" i="8"/>
  <c r="H2" i="8"/>
  <c r="H3" i="8"/>
  <c r="H4" i="8"/>
  <c r="H5" i="8"/>
  <c r="H6" i="8"/>
  <c r="H7" i="8"/>
  <c r="H8" i="8"/>
  <c r="H9" i="8"/>
  <c r="H10" i="8"/>
  <c r="H11" i="8"/>
  <c r="H12" i="8"/>
  <c r="H13" i="8"/>
  <c r="B15" i="7"/>
  <c r="F13" i="8"/>
  <c r="F12" i="8"/>
  <c r="F11" i="8"/>
  <c r="F10" i="8"/>
  <c r="F9" i="8"/>
  <c r="F8" i="8"/>
  <c r="F7" i="8"/>
  <c r="F6" i="8"/>
  <c r="F5" i="8"/>
  <c r="F4" i="8"/>
  <c r="F3" i="8"/>
  <c r="F2" i="8"/>
  <c r="D13" i="8"/>
  <c r="D12" i="8"/>
  <c r="D11" i="8"/>
  <c r="D10" i="8"/>
  <c r="G10" i="8" s="1"/>
  <c r="D9" i="8"/>
  <c r="G9" i="8" s="1"/>
  <c r="D8" i="8"/>
  <c r="D7" i="8"/>
  <c r="D6" i="8"/>
  <c r="D5" i="8"/>
  <c r="D4" i="8"/>
  <c r="D3" i="8"/>
  <c r="D2" i="8"/>
  <c r="E2" i="7"/>
  <c r="B13" i="8"/>
  <c r="B12" i="8"/>
  <c r="B11" i="8"/>
  <c r="B10" i="8"/>
  <c r="B9" i="8"/>
  <c r="B8" i="8"/>
  <c r="B7" i="8"/>
  <c r="B6" i="8"/>
  <c r="B5" i="8"/>
  <c r="B4" i="8"/>
  <c r="B3" i="8"/>
  <c r="B2" i="8"/>
  <c r="E13" i="7"/>
  <c r="E3" i="7"/>
  <c r="E4" i="7"/>
  <c r="E5" i="7"/>
  <c r="E6" i="7"/>
  <c r="E7" i="7"/>
  <c r="E8" i="7"/>
  <c r="E9" i="7"/>
  <c r="E10" i="7"/>
  <c r="E11" i="7"/>
  <c r="E12" i="7"/>
  <c r="B13" i="7"/>
  <c r="B12" i="7"/>
  <c r="B11" i="7"/>
  <c r="B10" i="7"/>
  <c r="B9" i="7"/>
  <c r="B8" i="7"/>
  <c r="B7" i="7"/>
  <c r="B6" i="7"/>
  <c r="B5" i="7"/>
  <c r="B4" i="7"/>
  <c r="B3" i="7"/>
  <c r="B2" i="7"/>
  <c r="B2" i="5"/>
  <c r="B3" i="5"/>
  <c r="B4" i="5"/>
  <c r="B5" i="5"/>
  <c r="B6" i="5"/>
  <c r="B7" i="5"/>
  <c r="B8" i="5"/>
  <c r="B9" i="5"/>
  <c r="B10" i="5"/>
  <c r="B11" i="5"/>
  <c r="B12" i="5"/>
  <c r="B13" i="5"/>
  <c r="B2" i="4"/>
  <c r="B3" i="4"/>
  <c r="B4" i="4"/>
  <c r="B5" i="4"/>
  <c r="B6" i="4"/>
  <c r="B7" i="4"/>
  <c r="B8" i="4"/>
  <c r="B9" i="4"/>
  <c r="B10" i="4"/>
  <c r="B11" i="4"/>
  <c r="B12" i="4"/>
  <c r="B13" i="4"/>
  <c r="B2" i="3"/>
  <c r="B3" i="3"/>
  <c r="B4" i="3"/>
  <c r="B5" i="3"/>
  <c r="B6" i="3"/>
  <c r="B7" i="3"/>
  <c r="B8" i="3"/>
  <c r="B9" i="3"/>
  <c r="B10" i="3"/>
  <c r="B11" i="3"/>
  <c r="B12" i="3"/>
  <c r="B13" i="3"/>
  <c r="B2" i="2"/>
  <c r="B3" i="2"/>
  <c r="B4" i="2"/>
  <c r="B5" i="2"/>
  <c r="B6" i="2"/>
  <c r="B7" i="2"/>
  <c r="B8" i="2"/>
  <c r="B9" i="2"/>
  <c r="B10" i="2"/>
  <c r="B11" i="2"/>
  <c r="B12" i="2"/>
  <c r="B13" i="2"/>
  <c r="B2" i="1"/>
  <c r="B3" i="1"/>
  <c r="B4" i="1"/>
  <c r="B5" i="1"/>
  <c r="B6" i="1"/>
  <c r="B7" i="1"/>
  <c r="B8" i="1"/>
  <c r="B9" i="1"/>
  <c r="B10" i="1"/>
  <c r="B11" i="1"/>
  <c r="B12" i="1"/>
  <c r="B13" i="1"/>
  <c r="G5" i="8" l="1"/>
  <c r="G11" i="8"/>
  <c r="G2" i="8"/>
  <c r="G3" i="8"/>
  <c r="G4" i="8"/>
  <c r="G8" i="8"/>
  <c r="G6" i="8"/>
  <c r="G7" i="8"/>
  <c r="G12" i="8"/>
  <c r="G13" i="8"/>
</calcChain>
</file>

<file path=xl/sharedStrings.xml><?xml version="1.0" encoding="utf-8"?>
<sst xmlns="http://schemas.openxmlformats.org/spreadsheetml/2006/main" count="146" uniqueCount="59">
  <si>
    <t>Nome do mês</t>
  </si>
  <si>
    <t>Número do mês</t>
  </si>
  <si>
    <t>Movimentações (toneladas)</t>
  </si>
  <si>
    <t>Container cheio (toneladas)</t>
  </si>
  <si>
    <t>Container vazio (toneladas)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</si>
  <si>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</si>
  <si>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</si>
  <si>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</si>
  <si>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</si>
  <si>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</si>
  <si>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</si>
  <si>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</si>
  <si>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</si>
  <si>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</si>
  <si>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</si>
  <si>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</si>
  <si>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</si>
  <si>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20 t</t>
  </si>
  <si>
    <t>40 t</t>
  </si>
  <si>
    <t>Cheio</t>
  </si>
  <si>
    <t>Vazio</t>
  </si>
  <si>
    <t>Embarque</t>
  </si>
  <si>
    <t>Desembarque</t>
  </si>
  <si>
    <t>32,5</t>
  </si>
  <si>
    <t>67,5</t>
  </si>
  <si>
    <t>36,1</t>
  </si>
  <si>
    <t>63,9</t>
  </si>
  <si>
    <t>39,5</t>
  </si>
  <si>
    <t>60,5</t>
  </si>
  <si>
    <t>34,8</t>
  </si>
  <si>
    <t>65,2</t>
  </si>
  <si>
    <t>38,8</t>
  </si>
  <si>
    <t>61,2</t>
  </si>
  <si>
    <t>36,9</t>
  </si>
  <si>
    <t>63,1</t>
  </si>
  <si>
    <t>42,1</t>
  </si>
  <si>
    <t>57,9</t>
  </si>
  <si>
    <t>42,3</t>
  </si>
  <si>
    <t>57,7</t>
  </si>
  <si>
    <t>36,2</t>
  </si>
  <si>
    <t>63,8</t>
  </si>
  <si>
    <t>40,9</t>
  </si>
  <si>
    <t>59,1</t>
  </si>
  <si>
    <t>36,8</t>
  </si>
  <si>
    <t>63,2</t>
  </si>
  <si>
    <t>Mês</t>
  </si>
  <si>
    <t>20 toneladas</t>
  </si>
  <si>
    <t>40 toneladas</t>
  </si>
  <si>
    <t>Total</t>
  </si>
  <si>
    <t>Container 20t otimizado</t>
  </si>
  <si>
    <t>Operação 40t otimizado</t>
  </si>
  <si>
    <t>Total otimizado</t>
  </si>
  <si>
    <t>Total 2024</t>
  </si>
  <si>
    <t>Quantidade de containers 20t</t>
  </si>
  <si>
    <t>Quantidade de container 40t</t>
  </si>
  <si>
    <t>Container 20t vazio (tonelada)</t>
  </si>
  <si>
    <t>Container 40t vazio (tonelada)</t>
  </si>
  <si>
    <t>Total container 2024</t>
  </si>
  <si>
    <t>Total faturamento otimizado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</si>
</sst>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[$-F800]dddd\,\ mmmm\ dd\,\ yyyy"/>
    <numFmt numFmtId="166" formatCode="mmmm\,\ yyyy;@"/>
    <numFmt numFmtId="167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3" fontId="0" fillId="0" borderId="0" xfId="0" applyNumberFormat="1"/>
    <xf numFmtId="9" fontId="0" fillId="0" borderId="0" xfId="0" applyNumberFormat="1"/>
    <xf numFmtId="167" fontId="0" fillId="0" borderId="0" xfId="0" applyNumberFormat="1"/>
    <xf numFmtId="1" fontId="0" fillId="3" borderId="1" xfId="0" applyNumberFormat="1" applyFill="1" applyBorder="1"/>
    <xf numFmtId="1" fontId="0" fillId="0" borderId="1" xfId="0" applyNumberFormat="1" applyBorder="1"/>
    <xf numFmtId="3" fontId="0" fillId="3" borderId="2" xfId="0" applyNumberFormat="1" applyFill="1" applyBorder="1"/>
    <xf numFmtId="3" fontId="0" fillId="0" borderId="2" xfId="0" applyNumberFormat="1" applyBorder="1"/>
    <xf numFmtId="167" fontId="0" fillId="3" borderId="2" xfId="0" applyNumberFormat="1" applyFill="1" applyBorder="1"/>
    <xf numFmtId="165" fontId="0" fillId="3" borderId="1" xfId="0" applyNumberFormat="1" applyFill="1" applyBorder="1"/>
    <xf numFmtId="165" fontId="0" fillId="0" borderId="1" xfId="0" applyNumberFormat="1" applyBorder="1"/>
    <xf numFmtId="165" fontId="1" fillId="2" borderId="3" xfId="0" applyNumberFormat="1" applyFont="1" applyFill="1" applyBorder="1"/>
    <xf numFmtId="1" fontId="1" fillId="2" borderId="3" xfId="0" applyNumberFormat="1" applyFont="1" applyFill="1" applyBorder="1"/>
    <xf numFmtId="3" fontId="1" fillId="2" borderId="4" xfId="0" applyNumberFormat="1" applyFont="1" applyFill="1" applyBorder="1"/>
    <xf numFmtId="167" fontId="1" fillId="2" borderId="4" xfId="0" applyNumberFormat="1" applyFont="1" applyFill="1" applyBorder="1"/>
    <xf numFmtId="167" fontId="1" fillId="2" borderId="3" xfId="0" applyNumberFormat="1" applyFont="1" applyFill="1" applyBorder="1"/>
    <xf numFmtId="165" fontId="0" fillId="0" borderId="5" xfId="0" applyNumberFormat="1" applyBorder="1"/>
    <xf numFmtId="1" fontId="0" fillId="0" borderId="5" xfId="0" applyNumberFormat="1" applyBorder="1"/>
    <xf numFmtId="3" fontId="0" fillId="0" borderId="6" xfId="0" applyNumberFormat="1" applyBorder="1"/>
    <xf numFmtId="167" fontId="0" fillId="3" borderId="0" xfId="0" applyNumberFormat="1" applyFill="1"/>
    <xf numFmtId="2" fontId="1" fillId="2" borderId="3" xfId="0" applyNumberFormat="1" applyFont="1" applyFill="1" applyBorder="1"/>
    <xf numFmtId="2" fontId="0" fillId="3" borderId="0" xfId="0" applyNumberForma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40">
    <dxf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numFmt numFmtId="167" formatCode="&quot;R$&quot;\ #,##0.00"/>
    </dxf>
    <dxf>
      <numFmt numFmtId="167" formatCode="&quot;R$&quot;\ #,##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7" formatCode="&quot;R$&quot;\ #,##0.00"/>
      <fill>
        <patternFill patternType="solid">
          <fgColor theme="4" tint="0.79998168889431442"/>
          <bgColor theme="4" tint="0.79998168889431442"/>
        </patternFill>
      </fill>
    </dxf>
    <dxf>
      <numFmt numFmtId="3" formatCode="#,##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" formatCode="#,##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[$-F800]dddd\,\ mmmm\ dd\,\ 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numFmt numFmtId="167" formatCode="&quot;R$&quot;\ #,##0.00"/>
    </dxf>
    <dxf>
      <numFmt numFmtId="167" formatCode="&quot;R$&quot;\ #,##0.00"/>
    </dxf>
    <dxf>
      <numFmt numFmtId="167" formatCode="&quot;R$&quot;\ #,##0.00"/>
    </dxf>
    <dxf>
      <numFmt numFmtId="1" formatCode="0"/>
    </dxf>
    <dxf>
      <numFmt numFmtId="166" formatCode="mmmm\,\ yyyy;@"/>
    </dxf>
    <dxf>
      <numFmt numFmtId="30" formatCode="@"/>
    </dxf>
    <dxf>
      <numFmt numFmtId="13" formatCode="0%"/>
    </dxf>
    <dxf>
      <numFmt numFmtId="13" formatCode="0%"/>
    </dxf>
    <dxf>
      <numFmt numFmtId="1" formatCode="0"/>
    </dxf>
    <dxf>
      <numFmt numFmtId="165" formatCode="[$-F800]dddd\,\ mmmm\ dd\,\ yyyy"/>
    </dxf>
    <dxf>
      <numFmt numFmtId="3" formatCode="#,##0"/>
    </dxf>
    <dxf>
      <numFmt numFmtId="3" formatCode="#,##0"/>
    </dxf>
    <dxf>
      <numFmt numFmtId="1" formatCode="0"/>
    </dxf>
    <dxf>
      <numFmt numFmtId="165" formatCode="[$-F800]dddd\,\ mmmm\ dd\,\ yyyy"/>
    </dxf>
    <dxf>
      <numFmt numFmtId="3" formatCode="#,##0"/>
    </dxf>
    <dxf>
      <numFmt numFmtId="3" formatCode="#,##0"/>
    </dxf>
    <dxf>
      <numFmt numFmtId="1" formatCode="0"/>
    </dxf>
    <dxf>
      <numFmt numFmtId="165" formatCode="[$-F800]dddd\,\ mmmm\ dd\,\ yyyy"/>
    </dxf>
    <dxf>
      <numFmt numFmtId="3" formatCode="#,##0"/>
    </dxf>
    <dxf>
      <numFmt numFmtId="3" formatCode="#,##0"/>
    </dxf>
    <dxf>
      <numFmt numFmtId="1" formatCode="0"/>
    </dxf>
    <dxf>
      <numFmt numFmtId="165" formatCode="[$-F800]dddd\,\ mmmm\ dd\,\ yyyy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66" formatCode="mmmm\,\ yyyy;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7B431-B522-4070-B85A-5B06AA124716}" name="Movimentacao2024" displayName="Movimentacao2024" ref="A1:E13" totalsRowShown="0" headerRowDxfId="39">
  <autoFilter ref="A1:E13" xr:uid="{10B7B431-B522-4070-B85A-5B06AA124716}"/>
  <tableColumns count="5">
    <tableColumn id="1" xr3:uid="{ADF6D9AF-06BE-4011-AC50-367C9F3D3768}" name="Nome do mês" dataDxfId="38"/>
    <tableColumn id="5" xr3:uid="{71D0FC8F-445E-40C9-8278-6F34EB09608E}" name="Número do mês" dataDxfId="37">
      <calculatedColumnFormula>ROW() - ROW(Movimentacao2024[[#Headers],[Número do mês]])</calculatedColumnFormula>
    </tableColumn>
    <tableColumn id="2" xr3:uid="{A6F7B04F-91F7-45EB-AA2B-2CEE53B5064D}" name="Movimentações (toneladas)" dataDxfId="36"/>
    <tableColumn id="3" xr3:uid="{FD1CDAD6-5532-41B4-B3F2-7B5060421F70}" name="Container cheio (toneladas)" dataDxfId="35"/>
    <tableColumn id="4" xr3:uid="{B74971C9-F88D-4490-963C-9CA8090CC7FE}" name="Container vazio (toneladas)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8DF9E-A18E-4F57-A71D-7F69A9D0F3A2}" name="Container20x40" displayName="Container20x40" ref="A1:D13" totalsRowShown="0">
  <autoFilter ref="A1:D13" xr:uid="{B9A8DF9E-A18E-4F57-A71D-7F69A9D0F3A2}"/>
  <tableColumns count="4">
    <tableColumn id="1" xr3:uid="{6FB4779C-EA6D-408B-884A-3810BA57D73C}" name="Mês" dataDxfId="33"/>
    <tableColumn id="4" xr3:uid="{A97C55BD-38C8-4FEA-B4AB-613829E5DD4B}" name="Número do mês" dataDxfId="32">
      <calculatedColumnFormula>ROW() - ROW(Container20x40[[#Headers],[Número do mês]])</calculatedColumnFormula>
    </tableColumn>
    <tableColumn id="2" xr3:uid="{E3233493-7B9E-4433-BA37-AC300CC71E02}" name="20 t" dataDxfId="31"/>
    <tableColumn id="3" xr3:uid="{4C250095-869C-4C4F-BE63-A8F4DE2A0F6D}" name="40 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6D635E-D2B2-471F-96BC-2158A5325B9D}" name="Container20" displayName="Container20" ref="A1:D13" totalsRowShown="0">
  <autoFilter ref="A1:D13" xr:uid="{886D635E-D2B2-471F-96BC-2158A5325B9D}"/>
  <tableColumns count="4">
    <tableColumn id="1" xr3:uid="{08827A2F-A07E-49DD-A559-99CC7757A3C3}" name="Mês" dataDxfId="29"/>
    <tableColumn id="4" xr3:uid="{674DF6EA-C345-479A-BCCF-40C908D1330D}" name="Número do mês" dataDxfId="28">
      <calculatedColumnFormula>ROW() - ROW(Container20[[#Headers],[Número do mês]])</calculatedColumnFormula>
    </tableColumn>
    <tableColumn id="2" xr3:uid="{E6EBDEA8-3F92-488B-A700-10412E158473}" name="Cheio" dataDxfId="27"/>
    <tableColumn id="3" xr3:uid="{C69F5370-AD0D-48DF-80CF-EC3A2CE987C0}" name="Vazio" dataDxf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75E504-ADB5-475D-A7C6-D36AA8E30B52}" name="Container40" displayName="Container40" ref="A1:D13" totalsRowShown="0">
  <autoFilter ref="A1:D13" xr:uid="{8075E504-ADB5-475D-A7C6-D36AA8E30B52}"/>
  <tableColumns count="4">
    <tableColumn id="1" xr3:uid="{E45A0CA8-27D6-4F00-90B4-CF1D44A4E82C}" name="Mês" dataDxfId="25"/>
    <tableColumn id="4" xr3:uid="{5647DB7F-2471-424B-AC19-99CCA5DB5DCB}" name="Número do mês" dataDxfId="24">
      <calculatedColumnFormula>ROW() - ROW(Container40[[#Headers],[Número do mês]])</calculatedColumnFormula>
    </tableColumn>
    <tableColumn id="2" xr3:uid="{5B67FF1C-1703-4254-80A8-F9C71D646C6C}" name="Cheio" dataDxfId="23"/>
    <tableColumn id="3" xr3:uid="{675461DE-778A-4A8A-834E-CEC76172BC65}" name="Vazio" dataDxfId="2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02397A-FB34-4909-BCC1-26906027B30F}" name="EmbDesemb" displayName="EmbDesemb" ref="A1:D13" totalsRowShown="0">
  <autoFilter ref="A1:D13" xr:uid="{DE02397A-FB34-4909-BCC1-26906027B30F}"/>
  <tableColumns count="4">
    <tableColumn id="1" xr3:uid="{446747EF-FA56-40C8-B74C-1A1188B4D834}" name="Mês" dataDxfId="21"/>
    <tableColumn id="4" xr3:uid="{8659FFEC-D3DA-4E63-97F0-0C151D22E2A7}" name="Número do mês" dataDxfId="20">
      <calculatedColumnFormula>ROW() - ROW(EmbDesemb[[#Headers],[Número do mês]])</calculatedColumnFormula>
    </tableColumn>
    <tableColumn id="2" xr3:uid="{B6963661-68DB-45FC-A251-298AC4C8D504}" name="Embarque" dataDxfId="19"/>
    <tableColumn id="3" xr3:uid="{BCCCAA45-FD02-4570-A19B-3767F6AC5F84}" name="Desembarque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2510C2-EBCB-4465-ABF3-9E6948C7D980}" name="Movimentacao202468" displayName="Movimentacao202468" ref="A1:E13" totalsRowShown="0" headerRowDxfId="17">
  <autoFilter ref="A1:E13" xr:uid="{762510C2-EBCB-4465-ABF3-9E6948C7D980}"/>
  <tableColumns count="5">
    <tableColumn id="1" xr3:uid="{746BDDBB-CF2E-4C0C-869C-A5833818C949}" name="Mês" dataDxfId="16"/>
    <tableColumn id="5" xr3:uid="{952E8B21-8FB2-4109-884B-BFE958E29FAC}" name="Número do mês" dataDxfId="15">
      <calculatedColumnFormula>ROW() - ROW(Movimentacao202468[[#Headers],[Número do mês]])</calculatedColumnFormula>
    </tableColumn>
    <tableColumn id="2" xr3:uid="{09D7260F-BFA8-400A-A390-4BACA174E88C}" name="20 toneladas" dataDxfId="14"/>
    <tableColumn id="3" xr3:uid="{17D334AA-F854-47B6-BB5C-A6131A0D2353}" name="40 toneladas" dataDxfId="13"/>
    <tableColumn id="4" xr3:uid="{FE579431-63CD-47FA-B844-D6A09D5258E3}" name="Total" dataDxfId="12">
      <calculatedColumnFormula>SUM(C2:D2)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142E87-5E61-4A58-ACBD-98510964CB70}" name="Tabela8" displayName="Tabela8" ref="A1:I13" totalsRowShown="0" headerRowBorderDxfId="11" tableBorderDxfId="10" totalsRowBorderDxfId="9">
  <autoFilter ref="A1:I13" xr:uid="{AC142E87-5E61-4A58-ACBD-98510964CB70}"/>
  <tableColumns count="9">
    <tableColumn id="1" xr3:uid="{D3C9763F-7DDF-4111-9175-625268996DB4}" name="Mês" dataDxfId="8"/>
    <tableColumn id="2" xr3:uid="{031CC82B-3974-4E97-BBA4-FEE66CF515DD}" name="Número do mês" dataDxfId="7">
      <calculatedColumnFormula>ROW() - ROW(Container20[[#Headers],[Número do mês]])</calculatedColumnFormula>
    </tableColumn>
    <tableColumn id="3" xr3:uid="{18B413D6-5942-4B93-B405-799FC47ABAD5}" name="Container 20t vazio (tonelada)" dataDxfId="6"/>
    <tableColumn id="7" xr3:uid="{062C91C3-40DB-41BC-95EC-B1729F6C1550}" name="Container 20t otimizado" dataDxfId="3">
      <calculatedColumnFormula>#REF!-88.84+Movimentacao202468[[#This Row],[20 toneladas]]</calculatedColumnFormula>
    </tableColumn>
    <tableColumn id="5" xr3:uid="{E0E1FCA8-D998-4617-A281-7B3578AF8D52}" name="Container 40t vazio (tonelada)" dataDxfId="5"/>
    <tableColumn id="9" xr3:uid="{7834B0C2-86F7-4010-B8B9-0897018B7518}" name="Operação 40t otimizado" dataDxfId="2">
      <calculatedColumnFormula>#REF!-88.84+Movimentacao202468[[#This Row],[40 toneladas]]</calculatedColumnFormula>
    </tableColumn>
    <tableColumn id="11" xr3:uid="{7F988D8E-1DE7-47FB-AD5E-C3910A90D0CF}" name="Total otimizado" dataDxfId="4">
      <calculatedColumnFormula>SUM(D2,F2)</calculatedColumnFormula>
    </tableColumn>
    <tableColumn id="4" xr3:uid="{6BB6BDBB-D368-4F66-8313-A47F20C408F6}" name="Quantidade de containers 20t" dataDxfId="1">
      <calculatedColumnFormula>(C2/2.35)</calculatedColumnFormula>
    </tableColumn>
    <tableColumn id="6" xr3:uid="{09AD01A6-3693-45A9-ABC9-E05E24B5B30D}" name="Quantidade de container 40t" dataDxfId="0">
      <calculatedColumnFormula>(E2/3.95)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13" sqref="A1:E13"/>
    </sheetView>
  </sheetViews>
  <sheetFormatPr defaultRowHeight="15" x14ac:dyDescent="0.25"/>
  <cols>
    <col min="1" max="1" width="15" customWidth="1"/>
    <col min="2" max="2" width="22.5703125" customWidth="1"/>
    <col min="3" max="3" width="28.7109375" style="6" bestFit="1" customWidth="1"/>
    <col min="4" max="4" width="28.28515625" style="6" bestFit="1" customWidth="1"/>
    <col min="5" max="5" width="27.28515625" style="6" customWidth="1"/>
  </cols>
  <sheetData>
    <row r="1" spans="1:5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4" t="s">
        <v>5</v>
      </c>
      <c r="B2" s="5">
        <f>ROW() - ROW(Movimentacao2024[[#Headers],[Número do mês]])</f>
        <v>1</v>
      </c>
      <c r="C2" s="6">
        <v>373207</v>
      </c>
      <c r="D2" s="6">
        <v>355455</v>
      </c>
      <c r="E2" s="6">
        <v>17752</v>
      </c>
    </row>
    <row r="3" spans="1:5" x14ac:dyDescent="0.25">
      <c r="A3" s="4" t="s">
        <v>6</v>
      </c>
      <c r="B3" s="5">
        <f>ROW() - ROW(Movimentacao2024[[#Headers],[Número do mês]])</f>
        <v>2</v>
      </c>
      <c r="C3" s="6">
        <v>423639</v>
      </c>
      <c r="D3" s="6">
        <v>412617</v>
      </c>
      <c r="E3" s="6">
        <v>11023</v>
      </c>
    </row>
    <row r="4" spans="1:5" x14ac:dyDescent="0.25">
      <c r="A4" s="4" t="s">
        <v>7</v>
      </c>
      <c r="B4" s="5">
        <f>ROW() - ROW(Movimentacao2024[[#Headers],[Número do mês]])</f>
        <v>3</v>
      </c>
      <c r="C4" s="6">
        <v>518979</v>
      </c>
      <c r="D4" s="6">
        <v>501206</v>
      </c>
      <c r="E4" s="6">
        <v>17772</v>
      </c>
    </row>
    <row r="5" spans="1:5" x14ac:dyDescent="0.25">
      <c r="A5" s="4" t="s">
        <v>8</v>
      </c>
      <c r="B5" s="5">
        <f>ROW() - ROW(Movimentacao2024[[#Headers],[Número do mês]])</f>
        <v>4</v>
      </c>
      <c r="C5" s="6">
        <v>361741</v>
      </c>
      <c r="D5" s="6">
        <v>355553</v>
      </c>
      <c r="E5" s="6">
        <v>6188</v>
      </c>
    </row>
    <row r="6" spans="1:5" x14ac:dyDescent="0.25">
      <c r="A6" s="4" t="s">
        <v>9</v>
      </c>
      <c r="B6" s="5">
        <f>ROW() - ROW(Movimentacao2024[[#Headers],[Número do mês]])</f>
        <v>5</v>
      </c>
      <c r="C6" s="6">
        <v>440683</v>
      </c>
      <c r="D6" s="6">
        <v>432649</v>
      </c>
      <c r="E6" s="6">
        <v>8034</v>
      </c>
    </row>
    <row r="7" spans="1:5" x14ac:dyDescent="0.25">
      <c r="A7" s="4" t="s">
        <v>10</v>
      </c>
      <c r="B7" s="5">
        <f>ROW() - ROW(Movimentacao2024[[#Headers],[Número do mês]])</f>
        <v>6</v>
      </c>
      <c r="C7" s="6">
        <v>441408</v>
      </c>
      <c r="D7" s="6">
        <v>429963</v>
      </c>
      <c r="E7" s="6">
        <v>11445</v>
      </c>
    </row>
    <row r="8" spans="1:5" x14ac:dyDescent="0.25">
      <c r="A8" s="4" t="s">
        <v>11</v>
      </c>
      <c r="B8" s="5">
        <f>ROW() - ROW(Movimentacao2024[[#Headers],[Número do mês]])</f>
        <v>7</v>
      </c>
      <c r="C8" s="6">
        <v>540151</v>
      </c>
      <c r="D8" s="6">
        <v>527761</v>
      </c>
      <c r="E8" s="6">
        <v>12390</v>
      </c>
    </row>
    <row r="9" spans="1:5" x14ac:dyDescent="0.25">
      <c r="A9" s="4" t="s">
        <v>12</v>
      </c>
      <c r="B9" s="5">
        <f>ROW() - ROW(Movimentacao2024[[#Headers],[Número do mês]])</f>
        <v>8</v>
      </c>
      <c r="C9" s="6">
        <v>449467</v>
      </c>
      <c r="D9" s="6">
        <v>430650</v>
      </c>
      <c r="E9" s="6">
        <v>18817</v>
      </c>
    </row>
    <row r="10" spans="1:5" x14ac:dyDescent="0.25">
      <c r="A10" s="4" t="s">
        <v>13</v>
      </c>
      <c r="B10" s="5">
        <f>ROW() - ROW(Movimentacao2024[[#Headers],[Número do mês]])</f>
        <v>9</v>
      </c>
      <c r="C10" s="6">
        <v>423866</v>
      </c>
      <c r="D10" s="6">
        <v>406173</v>
      </c>
      <c r="E10" s="6">
        <v>17693</v>
      </c>
    </row>
    <row r="11" spans="1:5" x14ac:dyDescent="0.25">
      <c r="A11" s="4" t="s">
        <v>14</v>
      </c>
      <c r="B11" s="5">
        <f>ROW() - ROW(Movimentacao2024[[#Headers],[Número do mês]])</f>
        <v>10</v>
      </c>
      <c r="C11" s="6">
        <v>479930</v>
      </c>
      <c r="D11" s="6">
        <v>463736</v>
      </c>
      <c r="E11" s="6">
        <v>16193</v>
      </c>
    </row>
    <row r="12" spans="1:5" x14ac:dyDescent="0.25">
      <c r="A12" s="4" t="s">
        <v>15</v>
      </c>
      <c r="B12" s="5">
        <f>ROW() - ROW(Movimentacao2024[[#Headers],[Número do mês]])</f>
        <v>11</v>
      </c>
      <c r="C12" s="6">
        <v>262983</v>
      </c>
      <c r="D12" s="6">
        <v>256161</v>
      </c>
      <c r="E12" s="6">
        <v>6822</v>
      </c>
    </row>
    <row r="13" spans="1:5" x14ac:dyDescent="0.25">
      <c r="A13" s="4" t="s">
        <v>16</v>
      </c>
      <c r="B13" s="5">
        <f>ROW() - ROW(Movimentacao2024[[#Headers],[Número do mês]])</f>
        <v>12</v>
      </c>
      <c r="C13" s="6">
        <v>463012</v>
      </c>
      <c r="D13" s="6">
        <v>457337</v>
      </c>
      <c r="E13" s="6">
        <v>5675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7D59-96C0-4373-B561-F988CC694540}">
  <dimension ref="A1:E13"/>
  <sheetViews>
    <sheetView workbookViewId="0">
      <selection activeCell="E1" sqref="E1"/>
    </sheetView>
  </sheetViews>
  <sheetFormatPr defaultRowHeight="15" x14ac:dyDescent="0.25"/>
  <cols>
    <col min="1" max="1" width="16.5703125" customWidth="1"/>
    <col min="2" max="2" width="17.5703125" customWidth="1"/>
    <col min="3" max="4" width="12" style="6" bestFit="1" customWidth="1"/>
  </cols>
  <sheetData>
    <row r="1" spans="1:5" x14ac:dyDescent="0.25">
      <c r="A1" s="3" t="s">
        <v>45</v>
      </c>
      <c r="B1" s="5" t="s">
        <v>1</v>
      </c>
      <c r="C1" s="6" t="s">
        <v>17</v>
      </c>
      <c r="D1" s="6" t="s">
        <v>18</v>
      </c>
      <c r="E1" s="1"/>
    </row>
    <row r="2" spans="1:5" x14ac:dyDescent="0.25">
      <c r="A2" s="3" t="s">
        <v>5</v>
      </c>
      <c r="B2" s="5">
        <f>ROW() - ROW(Container20x40[[#Headers],[Número do mês]])</f>
        <v>1</v>
      </c>
      <c r="C2" s="6">
        <v>136390</v>
      </c>
      <c r="D2" s="6">
        <v>236817</v>
      </c>
      <c r="E2" s="2"/>
    </row>
    <row r="3" spans="1:5" x14ac:dyDescent="0.25">
      <c r="A3" s="3" t="s">
        <v>6</v>
      </c>
      <c r="B3" s="5">
        <f>ROW() - ROW(Container20x40[[#Headers],[Número do mês]])</f>
        <v>2</v>
      </c>
      <c r="C3" s="6">
        <v>146204</v>
      </c>
      <c r="D3" s="6">
        <v>277435</v>
      </c>
      <c r="E3" s="2"/>
    </row>
    <row r="4" spans="1:5" x14ac:dyDescent="0.25">
      <c r="A4" s="3" t="s">
        <v>7</v>
      </c>
      <c r="B4" s="5">
        <f>ROW() - ROW(Container20x40[[#Headers],[Número do mês]])</f>
        <v>3</v>
      </c>
      <c r="C4" s="6">
        <v>182017</v>
      </c>
      <c r="D4" s="6">
        <v>336905</v>
      </c>
      <c r="E4" s="2"/>
    </row>
    <row r="5" spans="1:5" x14ac:dyDescent="0.25">
      <c r="A5" s="3" t="s">
        <v>8</v>
      </c>
      <c r="B5" s="5">
        <f>ROW() - ROW(Container20x40[[#Headers],[Número do mês]])</f>
        <v>4</v>
      </c>
      <c r="C5" s="6">
        <v>142073</v>
      </c>
      <c r="D5" s="6">
        <v>219668</v>
      </c>
      <c r="E5" s="2"/>
    </row>
    <row r="6" spans="1:5" x14ac:dyDescent="0.25">
      <c r="A6" s="3" t="s">
        <v>9</v>
      </c>
      <c r="B6" s="5">
        <f>ROW() - ROW(Container20x40[[#Headers],[Número do mês]])</f>
        <v>5</v>
      </c>
      <c r="C6" s="6">
        <v>164143</v>
      </c>
      <c r="D6" s="6">
        <v>276540</v>
      </c>
      <c r="E6" s="2"/>
    </row>
    <row r="7" spans="1:5" x14ac:dyDescent="0.25">
      <c r="A7" s="3" t="s">
        <v>10</v>
      </c>
      <c r="B7" s="5">
        <f>ROW() - ROW(Container20x40[[#Headers],[Número do mês]])</f>
        <v>6</v>
      </c>
      <c r="C7" s="6">
        <v>166996</v>
      </c>
      <c r="D7" s="6">
        <v>274412</v>
      </c>
      <c r="E7" s="2"/>
    </row>
    <row r="8" spans="1:5" x14ac:dyDescent="0.25">
      <c r="A8" s="3" t="s">
        <v>11</v>
      </c>
      <c r="B8" s="5">
        <f>ROW() - ROW(Container20x40[[#Headers],[Número do mês]])</f>
        <v>7</v>
      </c>
      <c r="C8" s="6">
        <v>199310</v>
      </c>
      <c r="D8" s="6">
        <v>340841</v>
      </c>
      <c r="E8" s="2"/>
    </row>
    <row r="9" spans="1:5" x14ac:dyDescent="0.25">
      <c r="A9" s="3" t="s">
        <v>12</v>
      </c>
      <c r="B9" s="5">
        <f>ROW() - ROW(Container20x40[[#Headers],[Número do mês]])</f>
        <v>8</v>
      </c>
      <c r="C9" s="6">
        <v>148820</v>
      </c>
      <c r="D9" s="6">
        <v>300647</v>
      </c>
      <c r="E9" s="2"/>
    </row>
    <row r="10" spans="1:5" x14ac:dyDescent="0.25">
      <c r="A10" s="3" t="s">
        <v>13</v>
      </c>
      <c r="B10" s="5">
        <f>ROW() - ROW(Container20x40[[#Headers],[Número do mês]])</f>
        <v>9</v>
      </c>
      <c r="C10" s="6">
        <v>147654</v>
      </c>
      <c r="D10" s="6">
        <v>276212</v>
      </c>
      <c r="E10" s="2"/>
    </row>
    <row r="11" spans="1:5" x14ac:dyDescent="0.25">
      <c r="A11" s="3" t="s">
        <v>14</v>
      </c>
      <c r="B11" s="5">
        <f>ROW() - ROW(Container20x40[[#Headers],[Número do mês]])</f>
        <v>10</v>
      </c>
      <c r="C11" s="6">
        <v>135742</v>
      </c>
      <c r="D11" s="6">
        <v>344188</v>
      </c>
      <c r="E11" s="2"/>
    </row>
    <row r="12" spans="1:5" x14ac:dyDescent="0.25">
      <c r="A12" s="3" t="s">
        <v>15</v>
      </c>
      <c r="B12" s="5">
        <f>ROW() - ROW(Container20x40[[#Headers],[Número do mês]])</f>
        <v>11</v>
      </c>
      <c r="C12" s="6">
        <v>71554</v>
      </c>
      <c r="D12" s="6">
        <v>191429</v>
      </c>
      <c r="E12" s="2"/>
    </row>
    <row r="13" spans="1:5" x14ac:dyDescent="0.25">
      <c r="A13" s="3" t="s">
        <v>16</v>
      </c>
      <c r="B13" s="5">
        <f>ROW() - ROW(Container20x40[[#Headers],[Número do mês]])</f>
        <v>12</v>
      </c>
      <c r="C13" s="6">
        <v>127177</v>
      </c>
      <c r="D13" s="6">
        <v>334835</v>
      </c>
      <c r="E1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4EED-61AB-438F-9039-F4B82BF16398}">
  <dimension ref="A1:S15"/>
  <sheetViews>
    <sheetView workbookViewId="0">
      <selection activeCell="E1" sqref="E1"/>
    </sheetView>
  </sheetViews>
  <sheetFormatPr defaultRowHeight="15" x14ac:dyDescent="0.25"/>
  <cols>
    <col min="1" max="1" width="16" customWidth="1"/>
    <col min="2" max="2" width="17.28515625" customWidth="1"/>
    <col min="3" max="3" width="11.42578125" style="6" bestFit="1" customWidth="1"/>
    <col min="4" max="4" width="14.5703125" style="6" customWidth="1"/>
  </cols>
  <sheetData>
    <row r="1" spans="1:19" x14ac:dyDescent="0.25">
      <c r="A1" s="3" t="s">
        <v>45</v>
      </c>
      <c r="B1" s="5" t="s">
        <v>1</v>
      </c>
      <c r="C1" s="6" t="s">
        <v>19</v>
      </c>
      <c r="D1" s="6" t="s">
        <v>20</v>
      </c>
    </row>
    <row r="2" spans="1:19" x14ac:dyDescent="0.25">
      <c r="A2" s="3" t="s">
        <v>5</v>
      </c>
      <c r="B2" s="5">
        <f>ROW() - ROW(Container20[[#Headers],[Número do mês]])</f>
        <v>1</v>
      </c>
      <c r="C2" s="6">
        <v>133410</v>
      </c>
      <c r="D2" s="6">
        <v>2980</v>
      </c>
    </row>
    <row r="3" spans="1:19" x14ac:dyDescent="0.25">
      <c r="A3" s="3" t="s">
        <v>6</v>
      </c>
      <c r="B3" s="5">
        <f>ROW() - ROW(Container20[[#Headers],[Número do mês]])</f>
        <v>2</v>
      </c>
      <c r="C3" s="6">
        <v>143764</v>
      </c>
      <c r="D3" s="6">
        <v>2440</v>
      </c>
    </row>
    <row r="4" spans="1:19" x14ac:dyDescent="0.25">
      <c r="A4" s="3" t="s">
        <v>7</v>
      </c>
      <c r="B4" s="5">
        <f>ROW() - ROW(Container20[[#Headers],[Número do mês]])</f>
        <v>3</v>
      </c>
      <c r="C4" s="6">
        <v>180017</v>
      </c>
      <c r="D4" s="6">
        <v>2057</v>
      </c>
    </row>
    <row r="5" spans="1:19" x14ac:dyDescent="0.25">
      <c r="A5" s="3" t="s">
        <v>8</v>
      </c>
      <c r="B5" s="5">
        <f>ROW() - ROW(Container20[[#Headers],[Número do mês]])</f>
        <v>4</v>
      </c>
      <c r="C5" s="6">
        <v>140717</v>
      </c>
      <c r="D5" s="6">
        <v>1356</v>
      </c>
    </row>
    <row r="6" spans="1:19" x14ac:dyDescent="0.25">
      <c r="A6" s="3" t="s">
        <v>9</v>
      </c>
      <c r="B6" s="5">
        <f>ROW() - ROW(Container20[[#Headers],[Número do mês]])</f>
        <v>5</v>
      </c>
      <c r="C6" s="6">
        <v>162523</v>
      </c>
      <c r="D6" s="6">
        <v>1621</v>
      </c>
    </row>
    <row r="7" spans="1:19" x14ac:dyDescent="0.25">
      <c r="A7" s="3" t="s">
        <v>10</v>
      </c>
      <c r="B7" s="5">
        <f>ROW() - ROW(Container20[[#Headers],[Número do mês]])</f>
        <v>6</v>
      </c>
      <c r="C7" s="6">
        <v>162442</v>
      </c>
      <c r="D7" s="6">
        <v>4573</v>
      </c>
    </row>
    <row r="8" spans="1:19" x14ac:dyDescent="0.25">
      <c r="A8" s="3" t="s">
        <v>11</v>
      </c>
      <c r="B8" s="5">
        <f>ROW() - ROW(Container20[[#Headers],[Número do mês]])</f>
        <v>7</v>
      </c>
      <c r="C8" s="6">
        <v>194670</v>
      </c>
      <c r="D8" s="6">
        <v>4640</v>
      </c>
    </row>
    <row r="9" spans="1:19" x14ac:dyDescent="0.25">
      <c r="A9" s="3" t="s">
        <v>12</v>
      </c>
      <c r="B9" s="5">
        <f>ROW() - ROW(Container20[[#Headers],[Número do mês]])</f>
        <v>8</v>
      </c>
      <c r="C9" s="6">
        <v>145693</v>
      </c>
      <c r="D9" s="6">
        <v>3126</v>
      </c>
    </row>
    <row r="10" spans="1:19" x14ac:dyDescent="0.25">
      <c r="A10" s="3" t="s">
        <v>13</v>
      </c>
      <c r="B10" s="5">
        <f>ROW() - ROW(Container20[[#Headers],[Número do mês]])</f>
        <v>9</v>
      </c>
      <c r="C10" s="6">
        <v>144658</v>
      </c>
      <c r="D10" s="6">
        <v>2996</v>
      </c>
    </row>
    <row r="11" spans="1:19" x14ac:dyDescent="0.25">
      <c r="A11" s="3" t="s">
        <v>14</v>
      </c>
      <c r="B11" s="5">
        <f>ROW() - ROW(Container20[[#Headers],[Número do mês]])</f>
        <v>10</v>
      </c>
      <c r="C11" s="6">
        <v>132334</v>
      </c>
      <c r="D11" s="6">
        <v>3408</v>
      </c>
    </row>
    <row r="12" spans="1:19" x14ac:dyDescent="0.25">
      <c r="A12" s="3" t="s">
        <v>15</v>
      </c>
      <c r="B12" s="5">
        <f>ROW() - ROW(Container20[[#Headers],[Número do mês]])</f>
        <v>11</v>
      </c>
      <c r="C12" s="6">
        <v>70211</v>
      </c>
      <c r="D12" s="6">
        <v>1342</v>
      </c>
    </row>
    <row r="13" spans="1:19" x14ac:dyDescent="0.25">
      <c r="A13" s="3" t="s">
        <v>16</v>
      </c>
      <c r="B13" s="5">
        <f>ROW() - ROW(Container20[[#Headers],[Número do mês]])</f>
        <v>12</v>
      </c>
      <c r="C13" s="6">
        <v>127438</v>
      </c>
      <c r="D13" s="6">
        <v>739</v>
      </c>
    </row>
    <row r="15" spans="1:19" x14ac:dyDescent="0.25">
      <c r="S15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1654-75CA-44CE-A792-BAC03A6785BC}">
  <dimension ref="A1:D13"/>
  <sheetViews>
    <sheetView workbookViewId="0">
      <selection activeCell="E2" sqref="E2"/>
    </sheetView>
  </sheetViews>
  <sheetFormatPr defaultRowHeight="15" x14ac:dyDescent="0.25"/>
  <cols>
    <col min="1" max="1" width="16.85546875" customWidth="1"/>
    <col min="2" max="2" width="16.7109375" style="5" customWidth="1"/>
    <col min="3" max="3" width="11.42578125" style="6" bestFit="1" customWidth="1"/>
    <col min="4" max="4" width="10.42578125" style="6" bestFit="1" customWidth="1"/>
  </cols>
  <sheetData>
    <row r="1" spans="1:4" x14ac:dyDescent="0.25">
      <c r="A1" s="3" t="s">
        <v>45</v>
      </c>
      <c r="B1" s="5" t="s">
        <v>1</v>
      </c>
      <c r="C1" s="6" t="s">
        <v>19</v>
      </c>
      <c r="D1" s="6" t="s">
        <v>20</v>
      </c>
    </row>
    <row r="2" spans="1:4" x14ac:dyDescent="0.25">
      <c r="A2" s="3" t="s">
        <v>5</v>
      </c>
      <c r="B2" s="5">
        <f>ROW() - ROW(Container40[[#Headers],[Número do mês]])</f>
        <v>1</v>
      </c>
      <c r="C2" s="6">
        <v>222045</v>
      </c>
      <c r="D2" s="6">
        <v>14772</v>
      </c>
    </row>
    <row r="3" spans="1:4" x14ac:dyDescent="0.25">
      <c r="A3" s="3" t="s">
        <v>6</v>
      </c>
      <c r="B3" s="5">
        <f>ROW() - ROW(Container40[[#Headers],[Número do mês]])</f>
        <v>2</v>
      </c>
      <c r="C3" s="6">
        <v>268853</v>
      </c>
      <c r="D3" s="6">
        <v>8582</v>
      </c>
    </row>
    <row r="4" spans="1:4" x14ac:dyDescent="0.25">
      <c r="A4" s="3" t="s">
        <v>7</v>
      </c>
      <c r="B4" s="5">
        <f>ROW() - ROW(Container40[[#Headers],[Número do mês]])</f>
        <v>3</v>
      </c>
      <c r="C4" s="6">
        <v>321190</v>
      </c>
      <c r="D4" s="6">
        <v>15715</v>
      </c>
    </row>
    <row r="5" spans="1:4" x14ac:dyDescent="0.25">
      <c r="A5" s="3" t="s">
        <v>8</v>
      </c>
      <c r="B5" s="5">
        <f>ROW() - ROW(Container40[[#Headers],[Número do mês]])</f>
        <v>4</v>
      </c>
      <c r="C5" s="6">
        <v>214836</v>
      </c>
      <c r="D5" s="6">
        <v>4832</v>
      </c>
    </row>
    <row r="6" spans="1:4" x14ac:dyDescent="0.25">
      <c r="A6" s="3" t="s">
        <v>9</v>
      </c>
      <c r="B6" s="5">
        <f>ROW() - ROW(Container40[[#Headers],[Número do mês]])</f>
        <v>5</v>
      </c>
      <c r="C6" s="6">
        <v>270126</v>
      </c>
      <c r="D6" s="6">
        <v>6414</v>
      </c>
    </row>
    <row r="7" spans="1:4" x14ac:dyDescent="0.25">
      <c r="A7" s="3" t="s">
        <v>10</v>
      </c>
      <c r="B7" s="5">
        <f>ROW() - ROW(Container40[[#Headers],[Número do mês]])</f>
        <v>6</v>
      </c>
      <c r="C7" s="6">
        <v>267541</v>
      </c>
      <c r="D7" s="6">
        <v>6871</v>
      </c>
    </row>
    <row r="8" spans="1:4" x14ac:dyDescent="0.25">
      <c r="A8" s="3" t="s">
        <v>11</v>
      </c>
      <c r="B8" s="5">
        <f>ROW() - ROW(Container40[[#Headers],[Número do mês]])</f>
        <v>7</v>
      </c>
      <c r="C8" s="6">
        <v>333090</v>
      </c>
      <c r="D8" s="6">
        <v>7751</v>
      </c>
    </row>
    <row r="9" spans="1:4" x14ac:dyDescent="0.25">
      <c r="A9" s="3" t="s">
        <v>12</v>
      </c>
      <c r="B9" s="5">
        <f>ROW() - ROW(Container40[[#Headers],[Número do mês]])</f>
        <v>8</v>
      </c>
      <c r="C9" s="6">
        <v>284957</v>
      </c>
      <c r="D9" s="6">
        <v>15690</v>
      </c>
    </row>
    <row r="10" spans="1:4" x14ac:dyDescent="0.25">
      <c r="A10" s="3" t="s">
        <v>13</v>
      </c>
      <c r="B10" s="5">
        <f>ROW() - ROW(Container40[[#Headers],[Número do mês]])</f>
        <v>9</v>
      </c>
      <c r="C10" s="6">
        <v>261515</v>
      </c>
      <c r="D10" s="6">
        <v>14697</v>
      </c>
    </row>
    <row r="11" spans="1:4" x14ac:dyDescent="0.25">
      <c r="A11" s="3" t="s">
        <v>14</v>
      </c>
      <c r="B11" s="5">
        <f>ROW() - ROW(Container40[[#Headers],[Número do mês]])</f>
        <v>10</v>
      </c>
      <c r="C11" s="6">
        <v>331402</v>
      </c>
      <c r="D11" s="6">
        <v>12786</v>
      </c>
    </row>
    <row r="12" spans="1:4" x14ac:dyDescent="0.25">
      <c r="A12" s="3" t="s">
        <v>15</v>
      </c>
      <c r="B12" s="5">
        <f>ROW() - ROW(Container40[[#Headers],[Número do mês]])</f>
        <v>11</v>
      </c>
      <c r="C12" s="6">
        <v>185949</v>
      </c>
      <c r="D12" s="6">
        <v>5480</v>
      </c>
    </row>
    <row r="13" spans="1:4" x14ac:dyDescent="0.25">
      <c r="A13" s="3" t="s">
        <v>16</v>
      </c>
      <c r="B13" s="5">
        <f>ROW() - ROW(Container40[[#Headers],[Número do mês]])</f>
        <v>12</v>
      </c>
      <c r="C13" s="6">
        <v>329899</v>
      </c>
      <c r="D13" s="6">
        <v>4936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E90D-71E7-4DE8-A175-46BA1BC1B079}">
  <dimension ref="A1:D13"/>
  <sheetViews>
    <sheetView workbookViewId="0">
      <selection activeCell="K9" sqref="K9"/>
    </sheetView>
  </sheetViews>
  <sheetFormatPr defaultRowHeight="15" x14ac:dyDescent="0.25"/>
  <cols>
    <col min="1" max="1" width="15.7109375" customWidth="1"/>
    <col min="2" max="2" width="19.85546875" customWidth="1"/>
    <col min="3" max="3" width="12.5703125" style="7" bestFit="1" customWidth="1"/>
    <col min="4" max="4" width="16.140625" style="7" bestFit="1" customWidth="1"/>
  </cols>
  <sheetData>
    <row r="1" spans="1:4" x14ac:dyDescent="0.25">
      <c r="A1" s="3" t="s">
        <v>45</v>
      </c>
      <c r="B1" s="5" t="s">
        <v>1</v>
      </c>
      <c r="C1" s="7" t="s">
        <v>21</v>
      </c>
      <c r="D1" s="7" t="s">
        <v>22</v>
      </c>
    </row>
    <row r="2" spans="1:4" x14ac:dyDescent="0.25">
      <c r="A2" s="3" t="s">
        <v>5</v>
      </c>
      <c r="B2" s="5">
        <f>ROW() - ROW(EmbDesemb[[#Headers],[Número do mês]])</f>
        <v>1</v>
      </c>
      <c r="C2" s="7" t="s">
        <v>23</v>
      </c>
      <c r="D2" s="7" t="s">
        <v>24</v>
      </c>
    </row>
    <row r="3" spans="1:4" x14ac:dyDescent="0.25">
      <c r="A3" s="3" t="s">
        <v>6</v>
      </c>
      <c r="B3" s="5">
        <f>ROW() - ROW(EmbDesemb[[#Headers],[Número do mês]])</f>
        <v>2</v>
      </c>
      <c r="C3" s="7" t="s">
        <v>25</v>
      </c>
      <c r="D3" s="7" t="s">
        <v>26</v>
      </c>
    </row>
    <row r="4" spans="1:4" x14ac:dyDescent="0.25">
      <c r="A4" s="3" t="s">
        <v>7</v>
      </c>
      <c r="B4" s="5">
        <f>ROW() - ROW(EmbDesemb[[#Headers],[Número do mês]])</f>
        <v>3</v>
      </c>
      <c r="C4" s="7" t="s">
        <v>27</v>
      </c>
      <c r="D4" s="7" t="s">
        <v>28</v>
      </c>
    </row>
    <row r="5" spans="1:4" x14ac:dyDescent="0.25">
      <c r="A5" s="3" t="s">
        <v>8</v>
      </c>
      <c r="B5" s="5">
        <f>ROW() - ROW(EmbDesemb[[#Headers],[Número do mês]])</f>
        <v>4</v>
      </c>
      <c r="C5" s="7" t="s">
        <v>29</v>
      </c>
      <c r="D5" s="7" t="s">
        <v>30</v>
      </c>
    </row>
    <row r="6" spans="1:4" x14ac:dyDescent="0.25">
      <c r="A6" s="3" t="s">
        <v>9</v>
      </c>
      <c r="B6" s="5">
        <f>ROW() - ROW(EmbDesemb[[#Headers],[Número do mês]])</f>
        <v>5</v>
      </c>
      <c r="C6" s="7" t="s">
        <v>31</v>
      </c>
      <c r="D6" s="7" t="s">
        <v>32</v>
      </c>
    </row>
    <row r="7" spans="1:4" x14ac:dyDescent="0.25">
      <c r="A7" s="3" t="s">
        <v>10</v>
      </c>
      <c r="B7" s="5">
        <f>ROW() - ROW(EmbDesemb[[#Headers],[Número do mês]])</f>
        <v>6</v>
      </c>
      <c r="C7" s="7" t="s">
        <v>33</v>
      </c>
      <c r="D7" s="7" t="s">
        <v>34</v>
      </c>
    </row>
    <row r="8" spans="1:4" x14ac:dyDescent="0.25">
      <c r="A8" s="3" t="s">
        <v>11</v>
      </c>
      <c r="B8" s="5">
        <f>ROW() - ROW(EmbDesemb[[#Headers],[Número do mês]])</f>
        <v>7</v>
      </c>
      <c r="C8" s="7" t="s">
        <v>25</v>
      </c>
      <c r="D8" s="7" t="s">
        <v>26</v>
      </c>
    </row>
    <row r="9" spans="1:4" x14ac:dyDescent="0.25">
      <c r="A9" s="3" t="s">
        <v>12</v>
      </c>
      <c r="B9" s="5">
        <f>ROW() - ROW(EmbDesemb[[#Headers],[Número do mês]])</f>
        <v>8</v>
      </c>
      <c r="C9" s="7" t="s">
        <v>35</v>
      </c>
      <c r="D9" s="7" t="s">
        <v>36</v>
      </c>
    </row>
    <row r="10" spans="1:4" x14ac:dyDescent="0.25">
      <c r="A10" s="3" t="s">
        <v>13</v>
      </c>
      <c r="B10" s="5">
        <f>ROW() - ROW(EmbDesemb[[#Headers],[Número do mês]])</f>
        <v>9</v>
      </c>
      <c r="C10" s="7" t="s">
        <v>37</v>
      </c>
      <c r="D10" s="7" t="s">
        <v>38</v>
      </c>
    </row>
    <row r="11" spans="1:4" x14ac:dyDescent="0.25">
      <c r="A11" s="3" t="s">
        <v>14</v>
      </c>
      <c r="B11" s="5">
        <f>ROW() - ROW(EmbDesemb[[#Headers],[Número do mês]])</f>
        <v>10</v>
      </c>
      <c r="C11" s="7" t="s">
        <v>39</v>
      </c>
      <c r="D11" s="7" t="s">
        <v>40</v>
      </c>
    </row>
    <row r="12" spans="1:4" x14ac:dyDescent="0.25">
      <c r="A12" s="3" t="s">
        <v>15</v>
      </c>
      <c r="B12" s="5">
        <f>ROW() - ROW(EmbDesemb[[#Headers],[Número do mês]])</f>
        <v>11</v>
      </c>
      <c r="C12" s="7" t="s">
        <v>41</v>
      </c>
      <c r="D12" s="7" t="s">
        <v>42</v>
      </c>
    </row>
    <row r="13" spans="1:4" x14ac:dyDescent="0.25">
      <c r="A13" s="3" t="s">
        <v>16</v>
      </c>
      <c r="B13" s="5">
        <f>ROW() - ROW(EmbDesemb[[#Headers],[Número do mês]])</f>
        <v>12</v>
      </c>
      <c r="C13" s="7" t="s">
        <v>43</v>
      </c>
      <c r="D13" s="7" t="s">
        <v>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DD93-A74E-48E4-80E5-8EE04A02D7B5}">
  <dimension ref="A1:E15"/>
  <sheetViews>
    <sheetView workbookViewId="0">
      <selection activeCell="C15" sqref="C15"/>
    </sheetView>
  </sheetViews>
  <sheetFormatPr defaultRowHeight="15" x14ac:dyDescent="0.25"/>
  <cols>
    <col min="1" max="1" width="15.85546875" customWidth="1"/>
    <col min="2" max="2" width="14.42578125" bestFit="1" customWidth="1"/>
    <col min="3" max="3" width="17.85546875" style="8" customWidth="1"/>
    <col min="4" max="4" width="17.28515625" style="8" customWidth="1"/>
    <col min="5" max="5" width="19" style="8" customWidth="1"/>
  </cols>
  <sheetData>
    <row r="1" spans="1:5" x14ac:dyDescent="0.25">
      <c r="A1" s="4" t="s">
        <v>45</v>
      </c>
      <c r="B1" s="5" t="s">
        <v>1</v>
      </c>
      <c r="C1" s="8" t="s">
        <v>46</v>
      </c>
      <c r="D1" s="8" t="s">
        <v>47</v>
      </c>
      <c r="E1" s="8" t="s">
        <v>48</v>
      </c>
    </row>
    <row r="2" spans="1:5" x14ac:dyDescent="0.25">
      <c r="A2" s="4" t="s">
        <v>5</v>
      </c>
      <c r="B2" s="5">
        <f>ROW() - ROW(Movimentacao202468[[#Headers],[Número do mês]])</f>
        <v>1</v>
      </c>
      <c r="C2" s="8">
        <v>112656.68</v>
      </c>
      <c r="D2" s="8">
        <v>332239.09999999998</v>
      </c>
      <c r="E2" s="8">
        <f>SUM(C2:D2)</f>
        <v>444895.77999999997</v>
      </c>
    </row>
    <row r="3" spans="1:5" x14ac:dyDescent="0.25">
      <c r="A3" s="4" t="s">
        <v>6</v>
      </c>
      <c r="B3" s="5">
        <f>ROW() - ROW(Movimentacao202468[[#Headers],[Número do mês]])</f>
        <v>2</v>
      </c>
      <c r="C3" s="8">
        <v>92242.38</v>
      </c>
      <c r="D3" s="8">
        <v>193018.95</v>
      </c>
      <c r="E3" s="8">
        <f t="shared" ref="E3:E12" si="0">SUM(C3:D3)</f>
        <v>285261.33</v>
      </c>
    </row>
    <row r="4" spans="1:5" x14ac:dyDescent="0.25">
      <c r="A4" s="4" t="s">
        <v>7</v>
      </c>
      <c r="B4" s="5">
        <f>ROW() - ROW(Movimentacao202468[[#Headers],[Número do mês]])</f>
        <v>3</v>
      </c>
      <c r="C4" s="8">
        <v>77763.350000000006</v>
      </c>
      <c r="D4" s="8">
        <v>353448.25</v>
      </c>
      <c r="E4" s="8">
        <f t="shared" si="0"/>
        <v>431211.6</v>
      </c>
    </row>
    <row r="5" spans="1:5" x14ac:dyDescent="0.25">
      <c r="A5" s="4" t="s">
        <v>8</v>
      </c>
      <c r="B5" s="5">
        <f>ROW() - ROW(Movimentacao202468[[#Headers],[Número do mês]])</f>
        <v>4</v>
      </c>
      <c r="C5" s="8">
        <v>51262.57</v>
      </c>
      <c r="D5" s="8">
        <v>108744.65</v>
      </c>
      <c r="E5" s="8">
        <f t="shared" si="0"/>
        <v>160007.22</v>
      </c>
    </row>
    <row r="6" spans="1:5" x14ac:dyDescent="0.25">
      <c r="A6" s="4" t="s">
        <v>9</v>
      </c>
      <c r="B6" s="5">
        <f>ROW() - ROW(Movimentacao202468[[#Headers],[Número do mês]])</f>
        <v>5</v>
      </c>
      <c r="C6" s="8">
        <v>61280.69</v>
      </c>
      <c r="D6" s="8">
        <v>144258.16</v>
      </c>
      <c r="E6" s="8">
        <f t="shared" si="0"/>
        <v>205538.85</v>
      </c>
    </row>
    <row r="7" spans="1:5" x14ac:dyDescent="0.25">
      <c r="A7" s="4" t="s">
        <v>10</v>
      </c>
      <c r="B7" s="5">
        <f>ROW() - ROW(Movimentacao202468[[#Headers],[Número do mês]])</f>
        <v>6</v>
      </c>
      <c r="C7" s="8">
        <v>172878.85</v>
      </c>
      <c r="D7" s="8">
        <v>154536.60999999999</v>
      </c>
      <c r="E7" s="8">
        <f t="shared" si="0"/>
        <v>327415.45999999996</v>
      </c>
    </row>
    <row r="8" spans="1:5" x14ac:dyDescent="0.25">
      <c r="A8" s="4" t="s">
        <v>11</v>
      </c>
      <c r="B8" s="5">
        <f>ROW() - ROW(Movimentacao202468[[#Headers],[Número do mês]])</f>
        <v>7</v>
      </c>
      <c r="C8" s="8">
        <v>175411.74</v>
      </c>
      <c r="D8" s="8">
        <v>174328.82</v>
      </c>
      <c r="E8" s="8">
        <f t="shared" si="0"/>
        <v>349740.56</v>
      </c>
    </row>
    <row r="9" spans="1:5" x14ac:dyDescent="0.25">
      <c r="A9" s="4" t="s">
        <v>12</v>
      </c>
      <c r="B9" s="5">
        <f>ROW() - ROW(Movimentacao202468[[#Headers],[Número do mês]])</f>
        <v>8</v>
      </c>
      <c r="C9" s="8">
        <v>118176.1</v>
      </c>
      <c r="D9" s="8">
        <v>352885.97</v>
      </c>
      <c r="E9" s="8">
        <f t="shared" si="0"/>
        <v>471062.06999999995</v>
      </c>
    </row>
    <row r="10" spans="1:5" x14ac:dyDescent="0.25">
      <c r="A10" s="4" t="s">
        <v>13</v>
      </c>
      <c r="B10" s="5">
        <f>ROW() - ROW(Movimentacao202468[[#Headers],[Número do mês]])</f>
        <v>9</v>
      </c>
      <c r="C10" s="8">
        <v>113261.54</v>
      </c>
      <c r="D10" s="8">
        <v>330552.27</v>
      </c>
      <c r="E10" s="8">
        <f t="shared" si="0"/>
        <v>443813.81</v>
      </c>
    </row>
    <row r="11" spans="1:5" x14ac:dyDescent="0.25">
      <c r="A11" s="4" t="s">
        <v>14</v>
      </c>
      <c r="B11" s="5">
        <f>ROW() - ROW(Movimentacao202468[[#Headers],[Número do mês]])</f>
        <v>10</v>
      </c>
      <c r="C11" s="8">
        <v>128836.9</v>
      </c>
      <c r="D11" s="8">
        <v>287571.7</v>
      </c>
      <c r="E11" s="8">
        <f t="shared" si="0"/>
        <v>416408.6</v>
      </c>
    </row>
    <row r="12" spans="1:5" x14ac:dyDescent="0.25">
      <c r="A12" s="4" t="s">
        <v>15</v>
      </c>
      <c r="B12" s="5">
        <f>ROW() - ROW(Movimentacao202468[[#Headers],[Número do mês]])</f>
        <v>11</v>
      </c>
      <c r="C12" s="8">
        <v>50733.31</v>
      </c>
      <c r="D12" s="8">
        <v>123251.44</v>
      </c>
      <c r="E12" s="8">
        <f t="shared" si="0"/>
        <v>173984.75</v>
      </c>
    </row>
    <row r="13" spans="1:5" x14ac:dyDescent="0.25">
      <c r="A13" s="4" t="s">
        <v>16</v>
      </c>
      <c r="B13" s="5">
        <f>ROW() - ROW(Movimentacao202468[[#Headers],[Número do mês]])</f>
        <v>12</v>
      </c>
      <c r="C13" s="8">
        <v>27937.34</v>
      </c>
      <c r="D13" s="8">
        <v>111016.26</v>
      </c>
      <c r="E13" s="8">
        <f>SUM(C13:D13)</f>
        <v>138953.60000000001</v>
      </c>
    </row>
    <row r="15" spans="1:5" x14ac:dyDescent="0.25">
      <c r="A15" t="s">
        <v>52</v>
      </c>
      <c r="B15" s="8">
        <f>SUM(Movimentacao202468[Total])</f>
        <v>3848293.63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F639-A7DD-4E38-9144-0BA041D0BB04}">
  <dimension ref="A1:I16"/>
  <sheetViews>
    <sheetView tabSelected="1" workbookViewId="0">
      <selection activeCell="G16" sqref="G16"/>
    </sheetView>
  </sheetViews>
  <sheetFormatPr defaultRowHeight="15" x14ac:dyDescent="0.25"/>
  <cols>
    <col min="1" max="1" width="20.85546875" customWidth="1"/>
    <col min="2" max="2" width="20.28515625" customWidth="1"/>
    <col min="3" max="3" width="32.5703125" style="6" customWidth="1"/>
    <col min="4" max="4" width="24.5703125" style="8" customWidth="1"/>
    <col min="5" max="5" width="30.28515625" customWidth="1"/>
    <col min="6" max="7" width="24" customWidth="1"/>
    <col min="8" max="9" width="31.7109375" style="27" customWidth="1"/>
    <col min="12" max="12" width="9.140625" customWidth="1"/>
  </cols>
  <sheetData>
    <row r="1" spans="1:9" x14ac:dyDescent="0.25">
      <c r="A1" s="16" t="s">
        <v>45</v>
      </c>
      <c r="B1" s="17" t="s">
        <v>1</v>
      </c>
      <c r="C1" s="18" t="s">
        <v>55</v>
      </c>
      <c r="D1" s="19" t="s">
        <v>49</v>
      </c>
      <c r="E1" s="18" t="s">
        <v>56</v>
      </c>
      <c r="F1" s="20" t="s">
        <v>50</v>
      </c>
      <c r="G1" s="20" t="s">
        <v>51</v>
      </c>
      <c r="H1" s="25" t="s">
        <v>53</v>
      </c>
      <c r="I1" s="25" t="s">
        <v>54</v>
      </c>
    </row>
    <row r="2" spans="1:9" x14ac:dyDescent="0.25">
      <c r="A2" s="14" t="s">
        <v>5</v>
      </c>
      <c r="B2" s="9">
        <f>ROW() - ROW(Container20[[#Headers],[Número do mês]])</f>
        <v>1</v>
      </c>
      <c r="C2" s="11">
        <v>2980</v>
      </c>
      <c r="D2" s="13">
        <f>188374.11-88.84+Movimentacao202468[[#This Row],[20 toneladas]]</f>
        <v>300941.94999999995</v>
      </c>
      <c r="E2" s="11">
        <v>14772</v>
      </c>
      <c r="F2" s="24">
        <f>598448.33-88.84+Movimentacao202468[[#This Row],[40 toneladas]]</f>
        <v>930598.59</v>
      </c>
      <c r="G2" s="24">
        <f>SUM(D2,F2)</f>
        <v>1231540.54</v>
      </c>
      <c r="H2" s="26">
        <f t="shared" ref="H2:H13" si="0">(C2/2.35)</f>
        <v>1268.0851063829787</v>
      </c>
      <c r="I2" s="26">
        <f t="shared" ref="I2:I13" si="1">(E2/3.95)</f>
        <v>3739.746835443038</v>
      </c>
    </row>
    <row r="3" spans="1:9" x14ac:dyDescent="0.25">
      <c r="A3" s="15" t="s">
        <v>6</v>
      </c>
      <c r="B3" s="10">
        <f>ROW() - ROW(Container20[[#Headers],[Número do mês]])</f>
        <v>2</v>
      </c>
      <c r="C3" s="12">
        <v>2440</v>
      </c>
      <c r="D3" s="13">
        <f>154255.3-88.84+Movimentacao202468[[#This Row],[20 toneladas]]</f>
        <v>246408.84</v>
      </c>
      <c r="E3" s="12">
        <v>8582</v>
      </c>
      <c r="F3" s="24">
        <f>347714.15-88.84+Movimentacao202468[[#This Row],[40 toneladas]]</f>
        <v>540644.26</v>
      </c>
      <c r="G3" s="24">
        <f>SUM(D3,F3)</f>
        <v>787053.1</v>
      </c>
      <c r="H3" s="26">
        <f t="shared" si="0"/>
        <v>1038.2978723404256</v>
      </c>
      <c r="I3" s="26">
        <f t="shared" si="1"/>
        <v>2172.658227848101</v>
      </c>
    </row>
    <row r="4" spans="1:9" x14ac:dyDescent="0.25">
      <c r="A4" s="14" t="s">
        <v>7</v>
      </c>
      <c r="B4" s="9">
        <f>ROW() - ROW(Container20[[#Headers],[Número do mês]])</f>
        <v>3</v>
      </c>
      <c r="C4" s="11">
        <v>2057</v>
      </c>
      <c r="D4" s="13">
        <f>130056.22-88.84+Movimentacao202468[[#This Row],[20 toneladas]]</f>
        <v>207730.73</v>
      </c>
      <c r="E4" s="11">
        <v>15715</v>
      </c>
      <c r="F4" s="24">
        <f>636645.8-88.84+Movimentacao202468[[#This Row],[40 toneladas]]</f>
        <v>990005.21000000008</v>
      </c>
      <c r="G4" s="24">
        <f>SUM(D4,F4)</f>
        <v>1197735.9400000002</v>
      </c>
      <c r="H4" s="26">
        <f t="shared" si="0"/>
        <v>875.31914893617022</v>
      </c>
      <c r="I4" s="26">
        <f t="shared" si="1"/>
        <v>3978.4810126582279</v>
      </c>
    </row>
    <row r="5" spans="1:9" x14ac:dyDescent="0.25">
      <c r="A5" s="15" t="s">
        <v>8</v>
      </c>
      <c r="B5" s="10">
        <f>ROW() - ROW(Container20[[#Headers],[Número do mês]])</f>
        <v>4</v>
      </c>
      <c r="C5" s="12">
        <v>1356</v>
      </c>
      <c r="D5" s="13">
        <f>85764.95-88.84+Movimentacao202468[[#This Row],[20 toneladas]]</f>
        <v>136938.68</v>
      </c>
      <c r="E5" s="12">
        <v>4832</v>
      </c>
      <c r="F5" s="24">
        <f>195936.94-88.84+Movimentacao202468[[#This Row],[40 toneladas]]</f>
        <v>304592.75</v>
      </c>
      <c r="G5" s="24">
        <f>SUM(D5,F5)</f>
        <v>441531.43</v>
      </c>
      <c r="H5" s="26">
        <f t="shared" si="0"/>
        <v>577.02127659574467</v>
      </c>
      <c r="I5" s="26">
        <f t="shared" si="1"/>
        <v>1223.2911392405063</v>
      </c>
    </row>
    <row r="6" spans="1:9" x14ac:dyDescent="0.25">
      <c r="A6" s="14" t="s">
        <v>9</v>
      </c>
      <c r="B6" s="9">
        <f>ROW() - ROW(Container20[[#Headers],[Número do mês]])</f>
        <v>5</v>
      </c>
      <c r="C6" s="11">
        <v>1621</v>
      </c>
      <c r="D6" s="13">
        <f>102508.44-88.84+Movimentacao202468[[#This Row],[20 toneladas]]</f>
        <v>163700.29</v>
      </c>
      <c r="E6" s="11">
        <v>6414</v>
      </c>
      <c r="F6" s="24">
        <f>259896.43-88.84+Movimentacao202468[[#This Row],[40 toneladas]]</f>
        <v>404065.75</v>
      </c>
      <c r="G6" s="24">
        <f>SUM(D6,F6)</f>
        <v>567766.04</v>
      </c>
      <c r="H6" s="26">
        <f t="shared" si="0"/>
        <v>689.78723404255311</v>
      </c>
      <c r="I6" s="26">
        <f t="shared" si="1"/>
        <v>1623.7974683544303</v>
      </c>
    </row>
    <row r="7" spans="1:9" x14ac:dyDescent="0.25">
      <c r="A7" s="15" t="s">
        <v>10</v>
      </c>
      <c r="B7" s="10">
        <f>ROW() - ROW(Container20[[#Headers],[Número do mês]])</f>
        <v>6</v>
      </c>
      <c r="C7" s="12">
        <v>4573</v>
      </c>
      <c r="D7" s="13">
        <f>289024.6-88.84+Movimentacao202468[[#This Row],[20 toneladas]]</f>
        <v>461814.61</v>
      </c>
      <c r="E7" s="12">
        <v>6871</v>
      </c>
      <c r="F7" s="24">
        <f>278407.82-88.84+Movimentacao202468[[#This Row],[40 toneladas]]</f>
        <v>432855.58999999997</v>
      </c>
      <c r="G7" s="24">
        <f>SUM(D7,F7)</f>
        <v>894670.2</v>
      </c>
      <c r="H7" s="26">
        <f t="shared" si="0"/>
        <v>1945.9574468085107</v>
      </c>
      <c r="I7" s="26">
        <f t="shared" si="1"/>
        <v>1739.493670886076</v>
      </c>
    </row>
    <row r="8" spans="1:9" x14ac:dyDescent="0.25">
      <c r="A8" s="14" t="s">
        <v>11</v>
      </c>
      <c r="B8" s="9">
        <f>ROW() - ROW(Container20[[#Headers],[Número do mês]])</f>
        <v>7</v>
      </c>
      <c r="C8" s="11">
        <v>4640</v>
      </c>
      <c r="D8" s="13">
        <f>293257.86-88.84+Movimentacao202468[[#This Row],[20 toneladas]]</f>
        <v>468580.75999999995</v>
      </c>
      <c r="E8" s="11">
        <v>7751</v>
      </c>
      <c r="F8" s="24">
        <f>314053.39-88.84+Movimentacao202468[[#This Row],[40 toneladas]]</f>
        <v>488293.37</v>
      </c>
      <c r="G8" s="24">
        <f>SUM(D8,F8)</f>
        <v>956874.12999999989</v>
      </c>
      <c r="H8" s="26">
        <f t="shared" si="0"/>
        <v>1974.4680851063829</v>
      </c>
      <c r="I8" s="26">
        <f t="shared" si="1"/>
        <v>1962.2784810126582</v>
      </c>
    </row>
    <row r="9" spans="1:9" x14ac:dyDescent="0.25">
      <c r="A9" s="15" t="s">
        <v>12</v>
      </c>
      <c r="B9" s="10">
        <f>ROW() - ROW(Container20[[#Headers],[Número do mês]])</f>
        <v>8</v>
      </c>
      <c r="C9" s="12">
        <v>3126</v>
      </c>
      <c r="D9" s="13">
        <f>197598.83-88.84+Movimentacao202468[[#This Row],[20 toneladas]]</f>
        <v>315686.08999999997</v>
      </c>
      <c r="E9" s="12">
        <v>15690</v>
      </c>
      <c r="F9" s="24">
        <f>635633.14-88.84+Movimentacao202468[[#This Row],[40 toneladas]]</f>
        <v>988430.27</v>
      </c>
      <c r="G9" s="24">
        <f>SUM(D9,F9)</f>
        <v>1304116.3599999999</v>
      </c>
      <c r="H9" s="26">
        <f t="shared" si="0"/>
        <v>1330.2127659574467</v>
      </c>
      <c r="I9" s="26">
        <f t="shared" si="1"/>
        <v>3972.1518987341769</v>
      </c>
    </row>
    <row r="10" spans="1:9" x14ac:dyDescent="0.25">
      <c r="A10" s="14" t="s">
        <v>13</v>
      </c>
      <c r="B10" s="9">
        <f>ROW() - ROW(Container20[[#Headers],[Número do mês]])</f>
        <v>9</v>
      </c>
      <c r="C10" s="11">
        <v>2996</v>
      </c>
      <c r="D10" s="13">
        <f>189385.04-88.84+Movimentacao202468[[#This Row],[20 toneladas]]</f>
        <v>302557.74</v>
      </c>
      <c r="E10" s="11">
        <v>14697</v>
      </c>
      <c r="F10" s="24">
        <f>595410.35-88.84+Movimentacao202468[[#This Row],[40 toneladas]]</f>
        <v>925873.78</v>
      </c>
      <c r="G10" s="24">
        <f>SUM(D10,F10)</f>
        <v>1228431.52</v>
      </c>
      <c r="H10" s="26">
        <f t="shared" si="0"/>
        <v>1274.8936170212764</v>
      </c>
      <c r="I10" s="26">
        <f t="shared" si="1"/>
        <v>3720.7594936708861</v>
      </c>
    </row>
    <row r="11" spans="1:9" x14ac:dyDescent="0.25">
      <c r="A11" s="15" t="s">
        <v>14</v>
      </c>
      <c r="B11" s="10">
        <f>ROW() - ROW(Container20[[#Headers],[Número do mês]])</f>
        <v>10</v>
      </c>
      <c r="C11" s="12">
        <v>3408</v>
      </c>
      <c r="D11" s="13">
        <f>215416.43-88.84+Movimentacao202468[[#This Row],[20 toneladas]]</f>
        <v>344164.49</v>
      </c>
      <c r="E11" s="12">
        <v>12786</v>
      </c>
      <c r="F11" s="24">
        <f>518002.76-88.84+Movimentacao202468[[#This Row],[40 toneladas]]</f>
        <v>805485.62</v>
      </c>
      <c r="G11" s="24">
        <f>SUM(D11,F11)</f>
        <v>1149650.1099999999</v>
      </c>
      <c r="H11" s="26">
        <f t="shared" si="0"/>
        <v>1450.2127659574467</v>
      </c>
      <c r="I11" s="26">
        <f t="shared" si="1"/>
        <v>3236.9620253164558</v>
      </c>
    </row>
    <row r="12" spans="1:9" x14ac:dyDescent="0.25">
      <c r="A12" s="14" t="s">
        <v>15</v>
      </c>
      <c r="B12" s="9">
        <f>ROW() - ROW(Container20[[#Headers],[Número do mês]])</f>
        <v>11</v>
      </c>
      <c r="C12" s="11">
        <v>1342</v>
      </c>
      <c r="D12" s="13">
        <f>84880.39-88.84+Movimentacao202468[[#This Row],[20 toneladas]]</f>
        <v>135524.85999999999</v>
      </c>
      <c r="E12" s="11">
        <v>5480</v>
      </c>
      <c r="F12" s="24">
        <f>222063.52-88.84+Movimentacao202468[[#This Row],[40 toneladas]]</f>
        <v>345226.12</v>
      </c>
      <c r="G12" s="24">
        <f>SUM(D12,F12)</f>
        <v>480750.98</v>
      </c>
      <c r="H12" s="26">
        <f t="shared" si="0"/>
        <v>571.063829787234</v>
      </c>
      <c r="I12" s="26">
        <f t="shared" si="1"/>
        <v>1387.3417721518986</v>
      </c>
    </row>
    <row r="13" spans="1:9" x14ac:dyDescent="0.25">
      <c r="A13" s="21" t="s">
        <v>16</v>
      </c>
      <c r="B13" s="22">
        <f>ROW() - ROW(Container20[[#Headers],[Número do mês]])</f>
        <v>12</v>
      </c>
      <c r="C13" s="23">
        <v>739</v>
      </c>
      <c r="D13" s="13">
        <f>46781.06-88.84+Movimentacao202468[[#This Row],[20 toneladas]]</f>
        <v>74629.56</v>
      </c>
      <c r="E13" s="23">
        <v>4936</v>
      </c>
      <c r="F13" s="24">
        <f>200028.08-88.84+Movimentacao202468[[#This Row],[40 toneladas]]</f>
        <v>310955.5</v>
      </c>
      <c r="G13" s="24">
        <f>SUM(D13,F13)</f>
        <v>385585.06</v>
      </c>
      <c r="H13" s="26">
        <f t="shared" si="0"/>
        <v>314.46808510638294</v>
      </c>
      <c r="I13" s="26">
        <f t="shared" si="1"/>
        <v>1249.620253164557</v>
      </c>
    </row>
    <row r="15" spans="1:9" x14ac:dyDescent="0.25">
      <c r="G15" t="s">
        <v>57</v>
      </c>
      <c r="H15" s="28">
        <f>SUM(Tabela8[[Quantidade de containers 20t]:[Quantidade de container 40t]])</f>
        <v>43316.369512523561</v>
      </c>
    </row>
    <row r="16" spans="1:9" x14ac:dyDescent="0.25">
      <c r="G16" t="s">
        <v>58</v>
      </c>
      <c r="H16" s="8">
        <f>SUM(Tabela8[Total otimizado])</f>
        <v>10625705.41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8BA330ECEBF4AB6A1F8FD97218F63" ma:contentTypeVersion="5" ma:contentTypeDescription="Create a new document." ma:contentTypeScope="" ma:versionID="b33c53435d04fca69968a91c4344a0fa">
  <xsd:schema xmlns:xsd="http://www.w3.org/2001/XMLSchema" xmlns:xs="http://www.w3.org/2001/XMLSchema" xmlns:p="http://schemas.microsoft.com/office/2006/metadata/properties" xmlns:ns3="512960d2-6449-4f16-8830-475a82af7769" targetNamespace="http://schemas.microsoft.com/office/2006/metadata/properties" ma:root="true" ma:fieldsID="9566f91e46b576cca09c70c5c9c76c5f" ns3:_="">
    <xsd:import namespace="512960d2-6449-4f16-8830-475a82af7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2960d2-6449-4f16-8830-475a82af77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C42CEA-A7C3-4835-85EC-E0D625C915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987D94-C634-41C6-9AF0-659C6A0E40C4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512960d2-6449-4f16-8830-475a82af7769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47936D4-61D0-4D0E-BA7B-E6AF9CF28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2960d2-6449-4f16-8830-475a82af7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Movimentação 2024</vt:lpstr>
      <vt:lpstr>Container 20 x 40</vt:lpstr>
      <vt:lpstr>Container 20 toneladas</vt:lpstr>
      <vt:lpstr>Container 40 toneladas</vt:lpstr>
      <vt:lpstr>Embarque e Desembarque %</vt:lpstr>
      <vt:lpstr>Valor por categ container</vt:lpstr>
      <vt:lpstr>Otimizando operação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 Ferreira</dc:creator>
  <cp:keywords/>
  <dc:description/>
  <cp:lastModifiedBy>Odinelson Leandro Ferreira dos Santos - 12722211571</cp:lastModifiedBy>
  <cp:revision/>
  <dcterms:created xsi:type="dcterms:W3CDTF">2025-06-07T13:22:55Z</dcterms:created>
  <dcterms:modified xsi:type="dcterms:W3CDTF">2025-06-12T02:18:10Z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0x0101005838BA330ECEBF4AB6A1F8FD97218F63</vt:lpwstr>
  </property>
</Properties>
</file>